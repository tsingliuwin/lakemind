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<sst xmlns="http://schemas.openxmlformats.org/spreadsheetml/2006/main" count="163" uniqueCount="24">
  <si>
    <t>1.1-5.7</t>
  </si>
  <si>
    <t>月份</t>
  </si>
  <si>
    <t>2026年GMV</t>
  </si>
  <si>
    <t>2025年GMV</t>
  </si>
  <si>
    <t>差额</t>
  </si>
  <si>
    <t>同比</t>
  </si>
  <si>
    <t>班型</t>
  </si>
  <si>
    <t>年届</t>
  </si>
  <si>
    <t>其它</t>
  </si>
  <si>
    <t>汇总</t>
  </si>
  <si>
    <t>01</t>
  </si>
  <si>
    <t>全程班</t>
  </si>
  <si>
    <t>小计</t>
  </si>
  <si>
    <t>02</t>
  </si>
  <si>
    <t>03</t>
  </si>
  <si>
    <t>协议班</t>
  </si>
  <si>
    <t>04</t>
  </si>
  <si>
    <t>蜕变</t>
  </si>
  <si>
    <t>05</t>
  </si>
  <si>
    <t>私塾</t>
  </si>
  <si>
    <t>总计</t>
  </si>
  <si>
    <t>全年营</t>
  </si>
  <si>
    <t>复试调剂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</si>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</sst>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indexed="0"/>
      <name val="微软雅黑"/>
      <charset val="134"/>
    </font>
    <font>
      <sz val="11"/>
      <color indexed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4" fillId="0" borderId="0">
      <alignment vertical="top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top"/>
    </xf>
    <xf numFmtId="0" fontId="0" fillId="0" borderId="0" xfId="0" applyFont="1">
      <alignment vertical="top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3" fontId="2" fillId="0" borderId="1" xfId="0" applyNumberFormat="1" applyFont="1" applyBorder="1">
      <alignment vertical="top"/>
    </xf>
    <xf numFmtId="10" fontId="3" fillId="0" borderId="1" xfId="3" applyNumberFormat="1" applyFont="1" applyBorder="1">
      <alignment vertical="top"/>
    </xf>
    <xf numFmtId="10" fontId="4" fillId="0" borderId="1" xfId="3" applyNumberFormat="1" applyBorder="1">
      <alignment vertical="top"/>
    </xf>
    <xf numFmtId="0" fontId="1" fillId="0" borderId="1" xfId="0" applyFont="1" applyBorder="1">
      <alignment vertical="top"/>
    </xf>
    <xf numFmtId="43" fontId="3" fillId="0" borderId="1" xfId="3" applyNumberFormat="1" applyFont="1" applyBorder="1">
      <alignment vertical="top"/>
    </xf>
    <xf numFmtId="0" fontId="0" fillId="0" borderId="0" xfId="0" applyNumberFormat="1" applyFo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9"/>
  <sheetViews>
    <sheetView tabSelected="1" topLeftCell="Q31" workbookViewId="0">
      <selection activeCell="Y47" sqref="Y47"/>
    </sheetView>
  </sheetViews>
  <sheetFormatPr defaultColWidth="9" defaultRowHeight="13.5"/>
  <cols>
    <col min="1" max="1" width="5.125" style="1" customWidth="1"/>
    <col min="2" max="3" width="17" style="1" customWidth="1"/>
    <col min="4" max="4" width="16.5" style="1" customWidth="1"/>
    <col min="5" max="5" width="8.75" style="1" customWidth="1"/>
    <col min="6" max="6" width="8.125" style="1" customWidth="1"/>
    <col min="7" max="8" width="17" style="1" customWidth="1"/>
    <col min="9" max="9" width="16.5" style="1" customWidth="1"/>
    <col min="10" max="10" width="19.375" style="1" customWidth="1"/>
    <col min="11" max="11" width="17" style="1"/>
    <col min="12" max="12" width="16.5" style="1"/>
    <col min="13" max="13" width="15.375" style="1"/>
    <col min="14" max="15" width="9" style="1"/>
    <col min="16" max="16" width="8.875" style="2" customWidth="1"/>
    <col min="17" max="17" width="15.75" style="1" customWidth="1"/>
    <col min="18" max="20" width="17" style="1" customWidth="1"/>
    <col min="21" max="22" width="15.75" style="1" customWidth="1"/>
    <col min="23" max="25" width="12.625" style="1" customWidth="1"/>
    <col min="26" max="28" width="14.5" style="1" customWidth="1"/>
    <col min="29" max="31" width="17" style="1" customWidth="1"/>
    <col min="32" max="16384" width="9" style="1"/>
  </cols>
  <sheetData>
    <row r="1" ht="15" spans="1:31">
      <c r="A1" s="3" t="s">
        <v>0</v>
      </c>
      <c r="B1" s="3"/>
      <c r="C1" s="3"/>
      <c r="D1" s="3"/>
      <c r="E1" s="3"/>
      <c r="H1" s="4" t="s">
        <v>0</v>
      </c>
      <c r="I1" s="5"/>
      <c r="J1" s="5"/>
      <c r="K1" s="5"/>
      <c r="L1" s="5"/>
      <c r="M1" s="6"/>
      <c r="P1" s="7" t="s">
        <v>0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5" spans="1:3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H2" s="7" t="s">
        <v>6</v>
      </c>
      <c r="I2" s="7" t="s">
        <v>1</v>
      </c>
      <c r="J2" s="7" t="s">
        <v>2</v>
      </c>
      <c r="K2" s="7" t="s">
        <v>3</v>
      </c>
      <c r="L2" s="7" t="s">
        <v>4</v>
      </c>
      <c r="M2" s="7" t="s">
        <v>5</v>
      </c>
      <c r="P2" s="7" t="s">
        <v>7</v>
      </c>
      <c r="Q2" s="7">
        <v>2026</v>
      </c>
      <c r="R2" s="7"/>
      <c r="S2" s="7">
        <v>2027</v>
      </c>
      <c r="T2" s="7"/>
      <c r="U2" s="7">
        <v>2028</v>
      </c>
      <c r="V2" s="7"/>
      <c r="W2" s="7">
        <v>2029</v>
      </c>
      <c r="X2" s="7"/>
      <c r="Y2" s="7">
        <v>2025</v>
      </c>
      <c r="Z2" s="7"/>
      <c r="AA2" s="7" t="s">
        <v>8</v>
      </c>
      <c r="AB2" s="7"/>
      <c r="AC2" s="8" t="s">
        <v>9</v>
      </c>
      <c r="AD2" s="9"/>
    </row>
    <row r="3" ht="16.5" spans="1:31">
      <c r="A3" s="3" t="s">
        <v>10</v>
      </c>
      <c r="B3" s="10">
        <v>39748248.93</v>
      </c>
      <c r="C3" s="10">
        <v>52593399.76</v>
      </c>
      <c r="D3" s="10">
        <f t="shared" ref="D3:D8" si="0">B3-C3</f>
        <v>-12845150.83</v>
      </c>
      <c r="E3" s="11">
        <f t="shared" ref="E3:E8" si="1">D3/C3</f>
        <v>-0.244235034978085</v>
      </c>
      <c r="H3" s="7" t="s">
        <v>11</v>
      </c>
      <c r="I3" s="7" t="s">
        <v>12</v>
      </c>
      <c r="J3" s="10">
        <v>17621226.75</v>
      </c>
      <c r="K3" s="10">
        <v>21887106.11</v>
      </c>
      <c r="L3" s="10">
        <v>-4265879.36</v>
      </c>
      <c r="M3" s="12">
        <v>-0.194903763821521</v>
      </c>
      <c r="P3" s="7" t="s">
        <v>6</v>
      </c>
      <c r="Q3" s="13" t="s">
        <v>2</v>
      </c>
      <c r="R3" s="13" t="s">
        <v>3</v>
      </c>
      <c r="S3" s="13" t="s">
        <v>2</v>
      </c>
      <c r="T3" s="13" t="s">
        <v>3</v>
      </c>
      <c r="U3" s="13" t="s">
        <v>2</v>
      </c>
      <c r="V3" s="13" t="s">
        <v>3</v>
      </c>
      <c r="W3" s="13" t="s">
        <v>2</v>
      </c>
      <c r="X3" s="13" t="s">
        <v>3</v>
      </c>
      <c r="Y3" s="13" t="s">
        <v>2</v>
      </c>
      <c r="Z3" s="13" t="s">
        <v>3</v>
      </c>
      <c r="AA3" s="13" t="s">
        <v>2</v>
      </c>
      <c r="AB3" s="13" t="s">
        <v>3</v>
      </c>
      <c r="AC3" s="13" t="s">
        <v>2</v>
      </c>
      <c r="AD3" s="13" t="s">
        <v>3</v>
      </c>
    </row>
    <row r="4" ht="16.5" spans="1:31">
      <c r="A4" s="3" t="s">
        <v>13</v>
      </c>
      <c r="B4" s="10">
        <v>26584018.44</v>
      </c>
      <c r="C4" s="10">
        <v>81393612.6</v>
      </c>
      <c r="D4" s="10">
        <f t="shared" si="0"/>
        <v>-54809594.16</v>
      </c>
      <c r="E4" s="11">
        <f t="shared" si="1"/>
        <v>-0.673389377976817</v>
      </c>
      <c r="H4" s="7"/>
      <c r="I4" s="7" t="s">
        <v>10</v>
      </c>
      <c r="J4" s="10">
        <v>3162407.92</v>
      </c>
      <c r="K4" s="10">
        <v>3378669.7</v>
      </c>
      <c r="L4" s="10">
        <v>-216261.78</v>
      </c>
      <c r="M4" s="12">
        <v>-0.0640079673961619</v>
      </c>
      <c r="P4" s="7" t="s">
        <v>11</v>
      </c>
      <c r="Q4" s="10">
        <v>801</v>
      </c>
      <c r="R4" s="10">
        <v>21887106.11</v>
      </c>
      <c r="S4" s="10">
        <v>17620425.75</v>
      </c>
      <c r="T4" s="10"/>
      <c r="U4" s="10"/>
      <c r="V4" s="10"/>
      <c r="W4" s="10"/>
      <c r="X4" s="10"/>
      <c r="Y4" s="10"/>
      <c r="Z4" s="10"/>
      <c r="AA4" s="10"/>
      <c r="AB4" s="10"/>
      <c r="AC4" s="10">
        <v>17621226.75</v>
      </c>
      <c r="AD4" s="10">
        <v>21887106.11</v>
      </c>
    </row>
    <row r="5" ht="16.5" spans="1:31">
      <c r="A5" s="3" t="s">
        <v>14</v>
      </c>
      <c r="B5" s="10">
        <v>69158701.18</v>
      </c>
      <c r="C5" s="10">
        <v>68746992.01</v>
      </c>
      <c r="D5" s="10">
        <f t="shared" si="0"/>
        <v>411709.170000002</v>
      </c>
      <c r="E5" s="11">
        <f t="shared" si="1"/>
        <v>0.00598875904185181</v>
      </c>
      <c r="H5" s="7"/>
      <c r="I5" s="7" t="s">
        <v>13</v>
      </c>
      <c r="J5" s="10">
        <v>2203202.19</v>
      </c>
      <c r="K5" s="10">
        <v>6691459.77</v>
      </c>
      <c r="L5" s="10">
        <v>-4488257.58</v>
      </c>
      <c r="M5" s="12">
        <v>-0.670744162599964</v>
      </c>
      <c r="P5" s="7" t="s">
        <v>15</v>
      </c>
      <c r="Q5" s="10"/>
      <c r="R5" s="10">
        <v>25251882.17</v>
      </c>
      <c r="S5" s="10">
        <v>18984695.96</v>
      </c>
      <c r="T5" s="10">
        <v>405088.28</v>
      </c>
      <c r="U5" s="10">
        <v>74294.6</v>
      </c>
      <c r="V5" s="10"/>
      <c r="W5" s="10"/>
      <c r="X5" s="10"/>
      <c r="Y5" s="10"/>
      <c r="Z5" s="10">
        <v>4500</v>
      </c>
      <c r="AA5" s="10"/>
      <c r="AB5" s="10"/>
      <c r="AC5" s="10">
        <v>19058990.56</v>
      </c>
      <c r="AD5" s="10">
        <v>25661470.45</v>
      </c>
    </row>
    <row r="6" ht="16.5" spans="1:31">
      <c r="A6" s="3" t="s">
        <v>16</v>
      </c>
      <c r="B6" s="10">
        <v>38754459.3</v>
      </c>
      <c r="C6" s="10">
        <v>40657378.01</v>
      </c>
      <c r="D6" s="10">
        <f t="shared" si="0"/>
        <v>-1902918.71</v>
      </c>
      <c r="E6" s="11">
        <f t="shared" si="1"/>
        <v>-0.0468037734635018</v>
      </c>
      <c r="H6" s="7"/>
      <c r="I6" s="7" t="s">
        <v>14</v>
      </c>
      <c r="J6" s="10">
        <v>7273126.58</v>
      </c>
      <c r="K6" s="10">
        <v>7353538.27</v>
      </c>
      <c r="L6" s="10">
        <v>-80411.6899999995</v>
      </c>
      <c r="M6" s="12">
        <v>-0.0109351018581154</v>
      </c>
      <c r="P6" s="7" t="s">
        <v>17</v>
      </c>
      <c r="Q6" s="10"/>
      <c r="R6" s="10">
        <v>52151828.42</v>
      </c>
      <c r="S6" s="10">
        <v>29983538.7</v>
      </c>
      <c r="T6" s="10">
        <v>14348540.17</v>
      </c>
      <c r="U6" s="10">
        <v>6069180.79</v>
      </c>
      <c r="V6" s="10"/>
      <c r="W6" s="10"/>
      <c r="X6" s="10"/>
      <c r="Y6" s="10"/>
      <c r="Z6" s="10"/>
      <c r="AA6" s="10"/>
      <c r="AB6" s="10"/>
      <c r="AC6" s="10">
        <v>36052719.49</v>
      </c>
      <c r="AD6" s="10">
        <v>66500368.59</v>
      </c>
    </row>
    <row r="7" ht="16.5" spans="1:31">
      <c r="A7" s="3" t="s">
        <v>18</v>
      </c>
      <c r="B7" s="10">
        <v>5818771.73</v>
      </c>
      <c r="C7" s="10">
        <v>8244173.27</v>
      </c>
      <c r="D7" s="10">
        <f t="shared" si="0"/>
        <v>-2425401.54</v>
      </c>
      <c r="E7" s="11">
        <f t="shared" si="1"/>
        <v>-0.294195847244729</v>
      </c>
      <c r="H7" s="7"/>
      <c r="I7" s="7" t="s">
        <v>16</v>
      </c>
      <c r="J7" s="10">
        <v>4332234.94</v>
      </c>
      <c r="K7" s="10">
        <v>3775328.82</v>
      </c>
      <c r="L7" s="10">
        <v>556906.120000001</v>
      </c>
      <c r="M7" s="12">
        <v>0.147511951025236</v>
      </c>
      <c r="P7" s="7" t="s">
        <v>19</v>
      </c>
      <c r="Q7" s="10"/>
      <c r="R7" s="10">
        <v>56027943.94</v>
      </c>
      <c r="S7" s="10">
        <v>42650974.84</v>
      </c>
      <c r="T7" s="10">
        <v>27956151.73</v>
      </c>
      <c r="U7" s="10">
        <v>14077354.42</v>
      </c>
      <c r="V7" s="10"/>
      <c r="W7" s="10"/>
      <c r="X7" s="10"/>
      <c r="Y7" s="10"/>
      <c r="Z7" s="10"/>
      <c r="AA7" s="10"/>
      <c r="AB7" s="10"/>
      <c r="AC7" s="10">
        <v>56728329.26</v>
      </c>
      <c r="AD7" s="10">
        <v>83984095.67</v>
      </c>
    </row>
    <row r="8" ht="16.5" spans="1:31">
      <c r="A8" s="3" t="s">
        <v>20</v>
      </c>
      <c r="B8" s="10">
        <v>180064199.58</v>
      </c>
      <c r="C8" s="14">
        <v>251635555.65</v>
      </c>
      <c r="D8" s="10">
        <f t="shared" si="0"/>
        <v>-71571356.07</v>
      </c>
      <c r="E8" s="11">
        <f t="shared" si="1"/>
        <v>-0.28442465487488</v>
      </c>
      <c r="H8" s="7"/>
      <c r="I8" s="7" t="s">
        <v>18</v>
      </c>
      <c r="J8" s="10">
        <v>650255.12</v>
      </c>
      <c r="K8" s="10">
        <v>688109.55</v>
      </c>
      <c r="L8" s="10">
        <v>-37854.4300000001</v>
      </c>
      <c r="M8" s="12">
        <v>-0.0550122142615228</v>
      </c>
      <c r="P8" s="7" t="s">
        <v>21</v>
      </c>
      <c r="Q8" s="10"/>
      <c r="R8" s="10">
        <v>25418774.7</v>
      </c>
      <c r="S8" s="10">
        <v>22383128.13</v>
      </c>
      <c r="T8" s="10"/>
      <c r="U8" s="10"/>
      <c r="V8" s="10"/>
      <c r="W8" s="10"/>
      <c r="X8" s="10"/>
      <c r="Y8" s="10"/>
      <c r="Z8" s="10"/>
      <c r="AA8" s="10"/>
      <c r="AB8" s="10"/>
      <c r="AC8" s="10">
        <v>22383128.13</v>
      </c>
      <c r="AD8" s="10">
        <v>25418774.7</v>
      </c>
    </row>
    <row r="9" ht="16.5" spans="1:31">
      <c r="H9" s="7" t="s">
        <v>15</v>
      </c>
      <c r="I9" s="7" t="s">
        <v>12</v>
      </c>
      <c r="J9" s="10">
        <v>19058990.56</v>
      </c>
      <c r="K9" s="10">
        <v>25661470.45</v>
      </c>
      <c r="L9" s="10">
        <v>-6602479.89</v>
      </c>
      <c r="M9" s="12">
        <v>-0.257291564911083</v>
      </c>
      <c r="P9" s="7" t="s">
        <v>22</v>
      </c>
      <c r="Q9" s="10">
        <v>11538850.76</v>
      </c>
      <c r="R9" s="10"/>
      <c r="S9" s="10"/>
      <c r="T9" s="10"/>
      <c r="U9" s="10"/>
      <c r="V9" s="10"/>
      <c r="W9" s="10"/>
      <c r="X9" s="10"/>
      <c r="Y9" s="10"/>
      <c r="Z9" s="10">
        <v>5841639.17</v>
      </c>
      <c r="AA9" s="10"/>
      <c r="AB9" s="10"/>
      <c r="AC9" s="10">
        <v>11538850.76</v>
      </c>
      <c r="AD9" s="10">
        <v>5841639.17</v>
      </c>
    </row>
    <row r="10" ht="16.5" spans="1:31">
      <c r="H10" s="7"/>
      <c r="I10" s="7" t="s">
        <v>10</v>
      </c>
      <c r="J10" s="10">
        <v>4661850.56</v>
      </c>
      <c r="K10" s="10">
        <v>5370825.6</v>
      </c>
      <c r="L10" s="10">
        <v>-708975.04</v>
      </c>
      <c r="M10" s="12">
        <v>-0.132004852289376</v>
      </c>
      <c r="P10" s="7" t="s">
        <v>23</v>
      </c>
      <c r="Q10" s="10">
        <v>432679.98</v>
      </c>
      <c r="R10" s="10">
        <v>16861618.01</v>
      </c>
      <c r="S10" s="10">
        <v>12120102.77</v>
      </c>
      <c r="T10" s="10">
        <v>1819162.35</v>
      </c>
      <c r="U10" s="10">
        <v>711468.9</v>
      </c>
      <c r="V10" s="10">
        <v>104531</v>
      </c>
      <c r="W10" s="10">
        <v>290970.05</v>
      </c>
      <c r="X10" s="10"/>
      <c r="Y10" s="10">
        <v>288389.5</v>
      </c>
      <c r="Z10" s="10">
        <v>211047.76</v>
      </c>
      <c r="AA10" s="10">
        <v>2837343.43</v>
      </c>
      <c r="AB10" s="10">
        <v>3345741.84</v>
      </c>
      <c r="AC10" s="10">
        <v>16680954.63</v>
      </c>
      <c r="AD10" s="10">
        <v>22342100.96</v>
      </c>
    </row>
    <row r="11" ht="16.5" spans="1:31">
      <c r="E11" s="15"/>
      <c r="H11" s="7"/>
      <c r="I11" s="7" t="s">
        <v>13</v>
      </c>
      <c r="J11" s="10">
        <v>2637644.13</v>
      </c>
      <c r="K11" s="10">
        <v>8190926.22</v>
      </c>
      <c r="L11" s="10">
        <v>-5553282.09</v>
      </c>
      <c r="M11" s="12">
        <v>-0.677979747447902</v>
      </c>
      <c r="P11" s="7" t="s">
        <v>20</v>
      </c>
      <c r="Q11" s="10">
        <v>11972331.74</v>
      </c>
      <c r="R11" s="10">
        <v>197599153.35</v>
      </c>
      <c r="S11" s="10">
        <v>143742866.15</v>
      </c>
      <c r="T11" s="10">
        <v>44528942.53</v>
      </c>
      <c r="U11" s="10">
        <v>20932298.71</v>
      </c>
      <c r="V11" s="10">
        <v>104531</v>
      </c>
      <c r="W11" s="10">
        <v>290970.05</v>
      </c>
      <c r="X11" s="10"/>
      <c r="Y11" s="10">
        <v>288389.5</v>
      </c>
      <c r="Z11" s="10">
        <v>6057186.93</v>
      </c>
      <c r="AA11" s="10">
        <v>2837343.43</v>
      </c>
      <c r="AB11" s="10">
        <v>3345741.84</v>
      </c>
      <c r="AC11" s="10">
        <v>180064199.58</v>
      </c>
      <c r="AD11" s="10">
        <v>251635555.65</v>
      </c>
    </row>
    <row r="12" ht="16.5" spans="1:31">
      <c r="E12" s="15"/>
      <c r="H12" s="7"/>
      <c r="I12" s="7" t="s">
        <v>14</v>
      </c>
      <c r="J12" s="10">
        <v>7295668.85</v>
      </c>
      <c r="K12" s="10">
        <v>7588441.61</v>
      </c>
      <c r="L12" s="10">
        <v>-292772.760000001</v>
      </c>
      <c r="M12" s="12">
        <v>-0.0385814077575805</v>
      </c>
    </row>
    <row r="13" ht="16.5" spans="1:31">
      <c r="E13" s="15"/>
      <c r="H13" s="7"/>
      <c r="I13" s="7" t="s">
        <v>16</v>
      </c>
      <c r="J13" s="10">
        <v>3809004.65</v>
      </c>
      <c r="K13" s="10">
        <v>3744071.4</v>
      </c>
      <c r="L13" s="10">
        <v>64933.25</v>
      </c>
      <c r="M13" s="12">
        <v>0.0173429518464846</v>
      </c>
    </row>
    <row r="14" ht="16.5" spans="1:31">
      <c r="E14" s="15"/>
      <c r="H14" s="7"/>
      <c r="I14" s="7" t="s">
        <v>18</v>
      </c>
      <c r="J14" s="10">
        <v>654822.37</v>
      </c>
      <c r="K14" s="10">
        <v>767205.62</v>
      </c>
      <c r="L14" s="10">
        <v>-112383.25</v>
      </c>
      <c r="M14" s="12">
        <v>-0.146483872211468</v>
      </c>
    </row>
    <row r="15" ht="16.5" spans="1:31">
      <c r="E15" s="15"/>
      <c r="H15" s="7" t="s">
        <v>17</v>
      </c>
      <c r="I15" s="7" t="s">
        <v>12</v>
      </c>
      <c r="J15" s="10">
        <v>36052719.49</v>
      </c>
      <c r="K15" s="10">
        <v>66500368.59</v>
      </c>
      <c r="L15" s="10">
        <v>-30447649.1</v>
      </c>
      <c r="M15" s="12">
        <v>-0.457856847196161</v>
      </c>
    </row>
    <row r="16" ht="16.5" spans="1:31">
      <c r="H16" s="7"/>
      <c r="I16" s="7" t="s">
        <v>10</v>
      </c>
      <c r="J16" s="10">
        <v>8986200.71</v>
      </c>
      <c r="K16" s="10">
        <v>15743700.21</v>
      </c>
      <c r="L16" s="10">
        <v>-6757499.5</v>
      </c>
      <c r="M16" s="12">
        <v>-0.429219269286378</v>
      </c>
      <c r="P16" s="8" t="s">
        <v>7</v>
      </c>
      <c r="Q16" s="9"/>
      <c r="R16" s="8">
        <v>2026</v>
      </c>
      <c r="S16" s="9"/>
      <c r="T16" s="8">
        <v>2027</v>
      </c>
      <c r="U16" s="9"/>
      <c r="V16" s="8">
        <v>2028</v>
      </c>
      <c r="W16" s="9"/>
      <c r="X16" s="8">
        <v>2029</v>
      </c>
      <c r="Y16" s="9"/>
      <c r="Z16" s="8">
        <v>2025</v>
      </c>
      <c r="AA16" s="9"/>
      <c r="AB16" s="8" t="s">
        <v>8</v>
      </c>
      <c r="AC16" s="9"/>
      <c r="AD16" s="8" t="s">
        <v>9</v>
      </c>
      <c r="AE16" s="9"/>
    </row>
    <row r="17" ht="16.5" spans="8:31">
      <c r="H17" s="7"/>
      <c r="I17" s="7" t="s">
        <v>13</v>
      </c>
      <c r="J17" s="10">
        <v>6113861.26</v>
      </c>
      <c r="K17" s="10">
        <v>24843438.28</v>
      </c>
      <c r="L17" s="10">
        <v>-18729577.02</v>
      </c>
      <c r="M17" s="12">
        <v>-0.753904383479725</v>
      </c>
      <c r="P17" s="7" t="s">
        <v>6</v>
      </c>
      <c r="Q17" s="7" t="s">
        <v>1</v>
      </c>
      <c r="R17" s="7" t="s">
        <v>2</v>
      </c>
      <c r="S17" s="7" t="s">
        <v>3</v>
      </c>
      <c r="T17" s="7" t="s">
        <v>2</v>
      </c>
      <c r="U17" s="7" t="s">
        <v>3</v>
      </c>
      <c r="V17" s="7" t="s">
        <v>2</v>
      </c>
      <c r="W17" s="7" t="s">
        <v>3</v>
      </c>
      <c r="X17" s="7" t="s">
        <v>2</v>
      </c>
      <c r="Y17" s="7" t="s">
        <v>3</v>
      </c>
      <c r="Z17" s="7" t="s">
        <v>2</v>
      </c>
      <c r="AA17" s="7" t="s">
        <v>3</v>
      </c>
      <c r="AB17" s="7" t="s">
        <v>2</v>
      </c>
      <c r="AC17" s="7" t="s">
        <v>3</v>
      </c>
      <c r="AD17" s="7" t="s">
        <v>2</v>
      </c>
      <c r="AE17" s="7" t="s">
        <v>3</v>
      </c>
    </row>
    <row r="18" ht="16.5" spans="8:31">
      <c r="H18" s="7"/>
      <c r="I18" s="7" t="s">
        <v>14</v>
      </c>
      <c r="J18" s="10">
        <v>12692543.67</v>
      </c>
      <c r="K18" s="10">
        <v>15997499.34</v>
      </c>
      <c r="L18" s="10">
        <v>-3304955.67</v>
      </c>
      <c r="M18" s="12">
        <v>-0.206592017899718</v>
      </c>
      <c r="P18" s="16" t="s">
        <v>11</v>
      </c>
      <c r="Q18" s="7" t="s">
        <v>12</v>
      </c>
      <c r="R18" s="10">
        <v>801</v>
      </c>
      <c r="S18" s="10">
        <v>21887106.11</v>
      </c>
      <c r="T18" s="10">
        <v>17620425.75</v>
      </c>
      <c r="U18" s="10"/>
      <c r="V18" s="10"/>
      <c r="W18" s="10"/>
      <c r="X18" s="10"/>
      <c r="Y18" s="10"/>
      <c r="Z18" s="10"/>
      <c r="AA18" s="10"/>
      <c r="AB18" s="10"/>
      <c r="AC18" s="10"/>
      <c r="AD18" s="10">
        <v>17621226.75</v>
      </c>
      <c r="AE18" s="10">
        <v>21887106.11</v>
      </c>
    </row>
    <row r="19" ht="16.5" spans="8:31">
      <c r="H19" s="7"/>
      <c r="I19" s="7" t="s">
        <v>16</v>
      </c>
      <c r="J19" s="10">
        <v>6788198.85</v>
      </c>
      <c r="K19" s="10">
        <v>8108070.76</v>
      </c>
      <c r="L19" s="10">
        <v>-1319871.91</v>
      </c>
      <c r="M19" s="12">
        <v>-0.162784952064232</v>
      </c>
      <c r="P19" s="17"/>
      <c r="Q19" s="7" t="s">
        <v>10</v>
      </c>
      <c r="R19" s="10">
        <v>801</v>
      </c>
      <c r="S19" s="10">
        <v>3378669.7</v>
      </c>
      <c r="T19" s="10">
        <v>3161606.92</v>
      </c>
      <c r="U19" s="10"/>
      <c r="V19" s="10"/>
      <c r="W19" s="10"/>
      <c r="X19" s="10"/>
      <c r="Y19" s="10"/>
      <c r="Z19" s="10"/>
      <c r="AA19" s="10"/>
      <c r="AB19" s="10"/>
      <c r="AC19" s="10"/>
      <c r="AD19" s="10">
        <v>3162407.92</v>
      </c>
      <c r="AE19" s="10">
        <v>3378669.7</v>
      </c>
    </row>
    <row r="20" ht="16.5" spans="8:31">
      <c r="H20" s="7"/>
      <c r="I20" s="7" t="s">
        <v>18</v>
      </c>
      <c r="J20" s="10">
        <v>1471915</v>
      </c>
      <c r="K20" s="10">
        <v>1807660</v>
      </c>
      <c r="L20" s="10">
        <v>-335745</v>
      </c>
      <c r="M20" s="12">
        <v>-0.185734596107675</v>
      </c>
      <c r="P20" s="17"/>
      <c r="Q20" s="7" t="s">
        <v>13</v>
      </c>
      <c r="R20" s="10"/>
      <c r="S20" s="10">
        <v>6691459.77</v>
      </c>
      <c r="T20" s="10">
        <v>2203202.19</v>
      </c>
      <c r="U20" s="10"/>
      <c r="V20" s="10"/>
      <c r="W20" s="10"/>
      <c r="X20" s="10"/>
      <c r="Y20" s="10"/>
      <c r="Z20" s="10"/>
      <c r="AA20" s="10"/>
      <c r="AB20" s="10"/>
      <c r="AC20" s="10"/>
      <c r="AD20" s="10">
        <v>2203202.19</v>
      </c>
      <c r="AE20" s="10">
        <v>6691459.77</v>
      </c>
    </row>
    <row r="21" ht="16.5" spans="8:31">
      <c r="H21" s="7" t="s">
        <v>19</v>
      </c>
      <c r="I21" s="7" t="s">
        <v>12</v>
      </c>
      <c r="J21" s="10">
        <v>56728329.26</v>
      </c>
      <c r="K21" s="10">
        <v>83984095.67</v>
      </c>
      <c r="L21" s="10">
        <v>-27255766.41</v>
      </c>
      <c r="M21" s="12">
        <v>-0.32453485618392</v>
      </c>
      <c r="P21" s="17"/>
      <c r="Q21" s="7" t="s">
        <v>14</v>
      </c>
      <c r="R21" s="10"/>
      <c r="S21" s="10">
        <v>7353538.27</v>
      </c>
      <c r="T21" s="10">
        <v>7273126.58</v>
      </c>
      <c r="U21" s="10"/>
      <c r="V21" s="10"/>
      <c r="W21" s="10"/>
      <c r="X21" s="10"/>
      <c r="Y21" s="10"/>
      <c r="Z21" s="10"/>
      <c r="AA21" s="10"/>
      <c r="AB21" s="10"/>
      <c r="AC21" s="10"/>
      <c r="AD21" s="10">
        <v>7273126.58</v>
      </c>
      <c r="AE21" s="10">
        <v>7353538.27</v>
      </c>
    </row>
    <row r="22" ht="16.5" spans="8:31">
      <c r="H22" s="7"/>
      <c r="I22" s="7" t="s">
        <v>10</v>
      </c>
      <c r="J22" s="10">
        <v>15801124</v>
      </c>
      <c r="K22" s="10">
        <v>21009693.47</v>
      </c>
      <c r="L22" s="10">
        <v>-5208569.47</v>
      </c>
      <c r="M22" s="12">
        <v>-0.24791268265943</v>
      </c>
      <c r="P22" s="17"/>
      <c r="Q22" s="7" t="s">
        <v>16</v>
      </c>
      <c r="R22" s="10"/>
      <c r="S22" s="10">
        <v>3775328.82</v>
      </c>
      <c r="T22" s="10">
        <v>4332234.94</v>
      </c>
      <c r="U22" s="10"/>
      <c r="V22" s="10"/>
      <c r="W22" s="10"/>
      <c r="X22" s="10"/>
      <c r="Y22" s="10"/>
      <c r="Z22" s="10"/>
      <c r="AA22" s="10"/>
      <c r="AB22" s="10"/>
      <c r="AC22" s="10"/>
      <c r="AD22" s="10">
        <v>4332234.94</v>
      </c>
      <c r="AE22" s="10">
        <v>3775328.82</v>
      </c>
    </row>
    <row r="23" ht="16.5" spans="8:31">
      <c r="H23" s="7"/>
      <c r="I23" s="7" t="s">
        <v>13</v>
      </c>
      <c r="J23" s="10">
        <v>10303317</v>
      </c>
      <c r="K23" s="10">
        <v>27882341.04</v>
      </c>
      <c r="L23" s="10">
        <v>-17579024.04</v>
      </c>
      <c r="M23" s="12">
        <v>-0.630471595436737</v>
      </c>
      <c r="P23" s="18"/>
      <c r="Q23" s="7" t="s">
        <v>18</v>
      </c>
      <c r="R23" s="10"/>
      <c r="S23" s="10">
        <v>688109.55</v>
      </c>
      <c r="T23" s="10">
        <v>650255.12</v>
      </c>
      <c r="U23" s="10"/>
      <c r="V23" s="10"/>
      <c r="W23" s="10"/>
      <c r="X23" s="10"/>
      <c r="Y23" s="10"/>
      <c r="Z23" s="10"/>
      <c r="AA23" s="10"/>
      <c r="AB23" s="10"/>
      <c r="AC23" s="10"/>
      <c r="AD23" s="10">
        <v>650255.12</v>
      </c>
      <c r="AE23" s="10">
        <v>688109.55</v>
      </c>
    </row>
    <row r="24" ht="16.5" spans="8:31">
      <c r="H24" s="7"/>
      <c r="I24" s="7" t="s">
        <v>14</v>
      </c>
      <c r="J24" s="10">
        <v>17381977.21</v>
      </c>
      <c r="K24" s="10">
        <v>19754737.69</v>
      </c>
      <c r="L24" s="10">
        <v>-2372760.48</v>
      </c>
      <c r="M24" s="12">
        <v>-0.120110958557608</v>
      </c>
      <c r="P24" s="16" t="s">
        <v>15</v>
      </c>
      <c r="Q24" s="7" t="s">
        <v>12</v>
      </c>
      <c r="R24" s="10"/>
      <c r="S24" s="10">
        <v>25251882.17</v>
      </c>
      <c r="T24" s="10">
        <v>18984695.96</v>
      </c>
      <c r="U24" s="10">
        <v>405088.28</v>
      </c>
      <c r="V24" s="10">
        <v>74294.6</v>
      </c>
      <c r="W24" s="10"/>
      <c r="X24" s="10"/>
      <c r="Y24" s="10"/>
      <c r="Z24" s="10"/>
      <c r="AA24" s="10">
        <v>4500</v>
      </c>
      <c r="AB24" s="10"/>
      <c r="AC24" s="10"/>
      <c r="AD24" s="10">
        <v>19058990.56</v>
      </c>
      <c r="AE24" s="10">
        <v>25661470.45</v>
      </c>
    </row>
    <row r="25" ht="16.5" spans="8:31">
      <c r="H25" s="7"/>
      <c r="I25" s="7" t="s">
        <v>16</v>
      </c>
      <c r="J25" s="10">
        <v>11480965.05</v>
      </c>
      <c r="K25" s="10">
        <v>11910698.57</v>
      </c>
      <c r="L25" s="10">
        <v>-429733.52</v>
      </c>
      <c r="M25" s="12">
        <v>-0.0360796234976837</v>
      </c>
      <c r="P25" s="17"/>
      <c r="Q25" s="7" t="s">
        <v>10</v>
      </c>
      <c r="R25" s="10"/>
      <c r="S25" s="10">
        <v>5370825.6</v>
      </c>
      <c r="T25" s="10">
        <v>4661850.56</v>
      </c>
      <c r="U25" s="10"/>
      <c r="V25" s="10"/>
      <c r="W25" s="10"/>
      <c r="X25" s="10"/>
      <c r="Y25" s="10"/>
      <c r="Z25" s="10"/>
      <c r="AA25" s="10"/>
      <c r="AB25" s="10"/>
      <c r="AC25" s="10"/>
      <c r="AD25" s="10">
        <v>4661850.56</v>
      </c>
      <c r="AE25" s="10">
        <v>5370825.6</v>
      </c>
    </row>
    <row r="26" ht="16.5" spans="8:31">
      <c r="H26" s="7"/>
      <c r="I26" s="7" t="s">
        <v>18</v>
      </c>
      <c r="J26" s="10">
        <v>1760946</v>
      </c>
      <c r="K26" s="10">
        <v>3426624.9</v>
      </c>
      <c r="L26" s="10">
        <v>-1665678.9</v>
      </c>
      <c r="M26" s="12">
        <v>-0.486098989124838</v>
      </c>
      <c r="P26" s="17"/>
      <c r="Q26" s="7" t="s">
        <v>13</v>
      </c>
      <c r="R26" s="10"/>
      <c r="S26" s="10">
        <v>8190926.22</v>
      </c>
      <c r="T26" s="10">
        <v>2637644.13</v>
      </c>
      <c r="U26" s="10"/>
      <c r="V26" s="10"/>
      <c r="W26" s="10"/>
      <c r="X26" s="10"/>
      <c r="Y26" s="10"/>
      <c r="Z26" s="10"/>
      <c r="AA26" s="10"/>
      <c r="AB26" s="10"/>
      <c r="AC26" s="10"/>
      <c r="AD26" s="10">
        <v>2637644.13</v>
      </c>
      <c r="AE26" s="10">
        <v>8190926.22</v>
      </c>
    </row>
    <row r="27" ht="16.5" spans="8:31">
      <c r="H27" s="7" t="s">
        <v>21</v>
      </c>
      <c r="I27" s="7" t="s">
        <v>12</v>
      </c>
      <c r="J27" s="10">
        <v>22383128.13</v>
      </c>
      <c r="K27" s="10">
        <v>25418774.7</v>
      </c>
      <c r="L27" s="10">
        <v>-3035646.57</v>
      </c>
      <c r="M27" s="12">
        <v>-0.119425369862537</v>
      </c>
      <c r="P27" s="17"/>
      <c r="Q27" s="7" t="s">
        <v>14</v>
      </c>
      <c r="R27" s="10"/>
      <c r="S27" s="10">
        <v>7588441.61</v>
      </c>
      <c r="T27" s="10">
        <v>7295668.85</v>
      </c>
      <c r="U27" s="10"/>
      <c r="V27" s="10"/>
      <c r="W27" s="10"/>
      <c r="X27" s="10"/>
      <c r="Y27" s="10"/>
      <c r="Z27" s="10"/>
      <c r="AA27" s="10"/>
      <c r="AB27" s="10"/>
      <c r="AC27" s="10"/>
      <c r="AD27" s="10">
        <v>7295668.85</v>
      </c>
      <c r="AE27" s="10">
        <v>7588441.61</v>
      </c>
    </row>
    <row r="28" ht="16.5" spans="8:31">
      <c r="H28" s="7"/>
      <c r="I28" s="7" t="s">
        <v>10</v>
      </c>
      <c r="J28" s="10">
        <v>2448080.13</v>
      </c>
      <c r="K28" s="10">
        <v>2827301</v>
      </c>
      <c r="L28" s="10">
        <v>-379220.87</v>
      </c>
      <c r="M28" s="12">
        <v>-0.134128226884934</v>
      </c>
      <c r="P28" s="17"/>
      <c r="Q28" s="7" t="s">
        <v>16</v>
      </c>
      <c r="R28" s="10"/>
      <c r="S28" s="10">
        <v>3408605.65</v>
      </c>
      <c r="T28" s="10">
        <v>3796844.65</v>
      </c>
      <c r="U28" s="10">
        <v>330965.75</v>
      </c>
      <c r="V28" s="10">
        <v>12160</v>
      </c>
      <c r="W28" s="10"/>
      <c r="X28" s="10"/>
      <c r="Y28" s="10"/>
      <c r="Z28" s="10"/>
      <c r="AA28" s="10">
        <v>4500</v>
      </c>
      <c r="AB28" s="10"/>
      <c r="AC28" s="10"/>
      <c r="AD28" s="10">
        <v>3809004.65</v>
      </c>
      <c r="AE28" s="10">
        <v>3744071.4</v>
      </c>
    </row>
    <row r="29" ht="16.5" spans="8:31">
      <c r="H29" s="7"/>
      <c r="I29" s="7" t="s">
        <v>13</v>
      </c>
      <c r="J29" s="10">
        <v>1734820</v>
      </c>
      <c r="K29" s="10">
        <v>5001163.7</v>
      </c>
      <c r="L29" s="10">
        <v>-3266343.7</v>
      </c>
      <c r="M29" s="12">
        <v>-0.653116733611419</v>
      </c>
      <c r="P29" s="18"/>
      <c r="Q29" s="7" t="s">
        <v>18</v>
      </c>
      <c r="R29" s="10"/>
      <c r="S29" s="10">
        <v>693083.09</v>
      </c>
      <c r="T29" s="10">
        <v>592687.77</v>
      </c>
      <c r="U29" s="10">
        <v>74122.53</v>
      </c>
      <c r="V29" s="10">
        <v>62134.6</v>
      </c>
      <c r="W29" s="10"/>
      <c r="X29" s="10"/>
      <c r="Y29" s="10"/>
      <c r="Z29" s="10"/>
      <c r="AA29" s="10"/>
      <c r="AB29" s="10"/>
      <c r="AC29" s="10"/>
      <c r="AD29" s="10">
        <v>654822.37</v>
      </c>
      <c r="AE29" s="10">
        <v>767205.62</v>
      </c>
    </row>
    <row r="30" ht="16.5" spans="8:31">
      <c r="H30" s="7"/>
      <c r="I30" s="7" t="s">
        <v>14</v>
      </c>
      <c r="J30" s="10">
        <v>11601023</v>
      </c>
      <c r="K30" s="10">
        <v>10085816</v>
      </c>
      <c r="L30" s="10">
        <v>1515207</v>
      </c>
      <c r="M30" s="12">
        <v>0.150231473586272</v>
      </c>
      <c r="P30" s="16" t="s">
        <v>17</v>
      </c>
      <c r="Q30" s="7" t="s">
        <v>12</v>
      </c>
      <c r="R30" s="10"/>
      <c r="S30" s="10">
        <v>52151828.42</v>
      </c>
      <c r="T30" s="10">
        <v>29983538.7</v>
      </c>
      <c r="U30" s="10">
        <v>14348540.17</v>
      </c>
      <c r="V30" s="10">
        <v>6069180.79</v>
      </c>
      <c r="W30" s="10"/>
      <c r="X30" s="10"/>
      <c r="Y30" s="10"/>
      <c r="Z30" s="10"/>
      <c r="AA30" s="10"/>
      <c r="AB30" s="10"/>
      <c r="AC30" s="10"/>
      <c r="AD30" s="10">
        <v>36052719.49</v>
      </c>
      <c r="AE30" s="10">
        <v>66500368.59</v>
      </c>
    </row>
    <row r="31" ht="16.5" spans="8:31">
      <c r="H31" s="7"/>
      <c r="I31" s="7" t="s">
        <v>16</v>
      </c>
      <c r="J31" s="10">
        <v>6152998</v>
      </c>
      <c r="K31" s="10">
        <v>7085244</v>
      </c>
      <c r="L31" s="10">
        <v>-932246</v>
      </c>
      <c r="M31" s="12">
        <v>-0.131575708613564</v>
      </c>
      <c r="P31" s="17"/>
      <c r="Q31" s="7" t="s">
        <v>10</v>
      </c>
      <c r="R31" s="10"/>
      <c r="S31" s="10">
        <v>13176019.2</v>
      </c>
      <c r="T31" s="10">
        <v>7681000.24</v>
      </c>
      <c r="U31" s="10">
        <v>2567681.01</v>
      </c>
      <c r="V31" s="10">
        <v>1305200.47</v>
      </c>
      <c r="W31" s="10"/>
      <c r="X31" s="10"/>
      <c r="Y31" s="10"/>
      <c r="Z31" s="10"/>
      <c r="AA31" s="10"/>
      <c r="AB31" s="10"/>
      <c r="AC31" s="10"/>
      <c r="AD31" s="10">
        <v>8986200.71</v>
      </c>
      <c r="AE31" s="10">
        <v>15743700.21</v>
      </c>
    </row>
    <row r="32" ht="16.5" spans="8:31">
      <c r="H32" s="7"/>
      <c r="I32" s="7" t="s">
        <v>18</v>
      </c>
      <c r="J32" s="10">
        <v>446207</v>
      </c>
      <c r="K32" s="10">
        <v>419250</v>
      </c>
      <c r="L32" s="10">
        <v>26957</v>
      </c>
      <c r="M32" s="12">
        <v>0.0642981514609422</v>
      </c>
      <c r="P32" s="17"/>
      <c r="Q32" s="7" t="s">
        <v>13</v>
      </c>
      <c r="R32" s="10"/>
      <c r="S32" s="10">
        <v>20186060.8</v>
      </c>
      <c r="T32" s="10">
        <v>5070556.26</v>
      </c>
      <c r="U32" s="10">
        <v>4657377.48</v>
      </c>
      <c r="V32" s="10">
        <v>1043305</v>
      </c>
      <c r="W32" s="10"/>
      <c r="X32" s="10"/>
      <c r="Y32" s="10"/>
      <c r="Z32" s="10"/>
      <c r="AA32" s="10"/>
      <c r="AB32" s="10"/>
      <c r="AC32" s="10"/>
      <c r="AD32" s="10">
        <v>6113861.26</v>
      </c>
      <c r="AE32" s="10">
        <v>24843438.28</v>
      </c>
    </row>
    <row r="33" ht="16.5" spans="8:31">
      <c r="H33" s="7" t="s">
        <v>22</v>
      </c>
      <c r="I33" s="7" t="s">
        <v>12</v>
      </c>
      <c r="J33" s="10">
        <v>11538850.76</v>
      </c>
      <c r="K33" s="10">
        <v>5841639.17</v>
      </c>
      <c r="L33" s="10">
        <v>5697211.59</v>
      </c>
      <c r="M33" s="12">
        <v>0.975276189474058</v>
      </c>
      <c r="P33" s="17"/>
      <c r="Q33" s="7" t="s">
        <v>14</v>
      </c>
      <c r="R33" s="10"/>
      <c r="S33" s="10">
        <v>12030370.66</v>
      </c>
      <c r="T33" s="10">
        <v>11458276.67</v>
      </c>
      <c r="U33" s="10">
        <v>3967128.68</v>
      </c>
      <c r="V33" s="10">
        <v>1234267</v>
      </c>
      <c r="W33" s="10"/>
      <c r="X33" s="10"/>
      <c r="Y33" s="10"/>
      <c r="Z33" s="10"/>
      <c r="AA33" s="10"/>
      <c r="AB33" s="10"/>
      <c r="AC33" s="10"/>
      <c r="AD33" s="10">
        <v>12692543.67</v>
      </c>
      <c r="AE33" s="10">
        <v>15997499.34</v>
      </c>
    </row>
    <row r="34" ht="16.5" spans="8:31">
      <c r="H34" s="7"/>
      <c r="I34" s="7" t="s">
        <v>10</v>
      </c>
      <c r="J34" s="10">
        <v>1179149.9</v>
      </c>
      <c r="K34" s="10">
        <v>699347.46</v>
      </c>
      <c r="L34" s="10">
        <v>479802.44</v>
      </c>
      <c r="M34" s="12">
        <v>0.68607161310059</v>
      </c>
      <c r="P34" s="17"/>
      <c r="Q34" s="7" t="s">
        <v>16</v>
      </c>
      <c r="R34" s="10"/>
      <c r="S34" s="10">
        <v>5717516.76</v>
      </c>
      <c r="T34" s="10">
        <v>4763919.53</v>
      </c>
      <c r="U34" s="10">
        <v>2390554</v>
      </c>
      <c r="V34" s="10">
        <v>2024279.32</v>
      </c>
      <c r="W34" s="10"/>
      <c r="X34" s="10"/>
      <c r="Y34" s="10"/>
      <c r="Z34" s="10"/>
      <c r="AA34" s="10"/>
      <c r="AB34" s="10"/>
      <c r="AC34" s="10"/>
      <c r="AD34" s="10">
        <v>6788198.85</v>
      </c>
      <c r="AE34" s="10">
        <v>8108070.76</v>
      </c>
    </row>
    <row r="35" ht="16.5" spans="8:31">
      <c r="H35" s="7"/>
      <c r="I35" s="7" t="s">
        <v>13</v>
      </c>
      <c r="J35" s="10">
        <v>1292127.6</v>
      </c>
      <c r="K35" s="10">
        <v>2716905.48</v>
      </c>
      <c r="L35" s="10">
        <v>-1424777.88</v>
      </c>
      <c r="M35" s="12">
        <v>-0.524412015982242</v>
      </c>
      <c r="P35" s="18"/>
      <c r="Q35" s="7" t="s">
        <v>18</v>
      </c>
      <c r="R35" s="10"/>
      <c r="S35" s="10">
        <v>1041861</v>
      </c>
      <c r="T35" s="10">
        <v>1009786</v>
      </c>
      <c r="U35" s="10">
        <v>765799</v>
      </c>
      <c r="V35" s="10">
        <v>462129</v>
      </c>
      <c r="W35" s="10"/>
      <c r="X35" s="10"/>
      <c r="Y35" s="10"/>
      <c r="Z35" s="10"/>
      <c r="AA35" s="10"/>
      <c r="AB35" s="10"/>
      <c r="AC35" s="10"/>
      <c r="AD35" s="10">
        <v>1471915</v>
      </c>
      <c r="AE35" s="10">
        <v>1807660</v>
      </c>
    </row>
    <row r="36" ht="16.5" spans="8:31">
      <c r="H36" s="7"/>
      <c r="I36" s="7" t="s">
        <v>14</v>
      </c>
      <c r="J36" s="10">
        <v>8052706.88</v>
      </c>
      <c r="K36" s="10">
        <v>1939808.07</v>
      </c>
      <c r="L36" s="10">
        <v>6112898.81</v>
      </c>
      <c r="M36" s="12">
        <v>3.15129053463521</v>
      </c>
      <c r="P36" s="16" t="s">
        <v>19</v>
      </c>
      <c r="Q36" s="7" t="s">
        <v>12</v>
      </c>
      <c r="R36" s="10"/>
      <c r="S36" s="10">
        <v>56027943.94</v>
      </c>
      <c r="T36" s="10">
        <v>42650974.84</v>
      </c>
      <c r="U36" s="10">
        <v>27956151.73</v>
      </c>
      <c r="V36" s="10">
        <v>14077354.42</v>
      </c>
      <c r="W36" s="10"/>
      <c r="X36" s="10"/>
      <c r="Y36" s="10"/>
      <c r="Z36" s="10"/>
      <c r="AA36" s="10"/>
      <c r="AB36" s="10"/>
      <c r="AC36" s="10"/>
      <c r="AD36" s="10">
        <v>56728329.26</v>
      </c>
      <c r="AE36" s="10">
        <v>83984095.67</v>
      </c>
    </row>
    <row r="37" ht="16.5" spans="8:31">
      <c r="H37" s="7"/>
      <c r="I37" s="7" t="s">
        <v>16</v>
      </c>
      <c r="J37" s="10">
        <v>1014866.38</v>
      </c>
      <c r="K37" s="10">
        <v>485578.16</v>
      </c>
      <c r="L37" s="10">
        <v>529288.22</v>
      </c>
      <c r="M37" s="12">
        <v>1.09001652792621</v>
      </c>
      <c r="P37" s="17"/>
      <c r="Q37" s="7" t="s">
        <v>10</v>
      </c>
      <c r="R37" s="10"/>
      <c r="S37" s="10">
        <v>18467294.47</v>
      </c>
      <c r="T37" s="10">
        <v>11860707</v>
      </c>
      <c r="U37" s="10">
        <v>2542399</v>
      </c>
      <c r="V37" s="10">
        <v>3940417</v>
      </c>
      <c r="W37" s="10"/>
      <c r="X37" s="10"/>
      <c r="Y37" s="10"/>
      <c r="Z37" s="10"/>
      <c r="AA37" s="10"/>
      <c r="AB37" s="10"/>
      <c r="AC37" s="10"/>
      <c r="AD37" s="10">
        <v>15801124</v>
      </c>
      <c r="AE37" s="10">
        <v>21009693.47</v>
      </c>
    </row>
    <row r="38" ht="16.5" spans="8:31">
      <c r="H38" s="7" t="s">
        <v>23</v>
      </c>
      <c r="I38" s="7" t="s">
        <v>12</v>
      </c>
      <c r="J38" s="10">
        <v>16680954.63</v>
      </c>
      <c r="K38" s="10">
        <v>22342100.96</v>
      </c>
      <c r="L38" s="10">
        <v>-5661146.33</v>
      </c>
      <c r="M38" s="12">
        <v>-0.253384690192538</v>
      </c>
      <c r="P38" s="17"/>
      <c r="Q38" s="7" t="s">
        <v>13</v>
      </c>
      <c r="R38" s="10"/>
      <c r="S38" s="10">
        <v>18697376.04</v>
      </c>
      <c r="T38" s="10">
        <v>7192735</v>
      </c>
      <c r="U38" s="10">
        <v>9184965</v>
      </c>
      <c r="V38" s="10">
        <v>3110582</v>
      </c>
      <c r="W38" s="10"/>
      <c r="X38" s="10"/>
      <c r="Y38" s="10"/>
      <c r="Z38" s="10"/>
      <c r="AA38" s="10"/>
      <c r="AB38" s="10"/>
      <c r="AC38" s="10"/>
      <c r="AD38" s="10">
        <v>10303317</v>
      </c>
      <c r="AE38" s="10">
        <v>27882341.04</v>
      </c>
    </row>
    <row r="39" ht="16.5" spans="8:31">
      <c r="H39" s="7"/>
      <c r="I39" s="7" t="s">
        <v>10</v>
      </c>
      <c r="J39" s="10">
        <v>3509435.71</v>
      </c>
      <c r="K39" s="10">
        <v>3563862.32</v>
      </c>
      <c r="L39" s="10">
        <v>-54426.6099999999</v>
      </c>
      <c r="M39" s="12">
        <v>-0.0152718048883549</v>
      </c>
      <c r="P39" s="17"/>
      <c r="Q39" s="7" t="s">
        <v>14</v>
      </c>
      <c r="R39" s="10"/>
      <c r="S39" s="10">
        <v>12137740.69</v>
      </c>
      <c r="T39" s="10">
        <v>14226661.79</v>
      </c>
      <c r="U39" s="10">
        <v>7616997</v>
      </c>
      <c r="V39" s="10">
        <v>3155315.42</v>
      </c>
      <c r="W39" s="10"/>
      <c r="X39" s="10"/>
      <c r="Y39" s="10"/>
      <c r="Z39" s="10"/>
      <c r="AA39" s="10"/>
      <c r="AB39" s="10"/>
      <c r="AC39" s="10"/>
      <c r="AD39" s="10">
        <v>17381977.21</v>
      </c>
      <c r="AE39" s="10">
        <v>19754737.69</v>
      </c>
    </row>
    <row r="40" ht="16.5" spans="8:31">
      <c r="H40" s="7"/>
      <c r="I40" s="7" t="s">
        <v>13</v>
      </c>
      <c r="J40" s="10">
        <v>2299046.26</v>
      </c>
      <c r="K40" s="10">
        <v>6067378.11</v>
      </c>
      <c r="L40" s="10">
        <v>-3768331.85</v>
      </c>
      <c r="M40" s="12">
        <v>-0.621080766960805</v>
      </c>
      <c r="P40" s="17"/>
      <c r="Q40" s="7" t="s">
        <v>16</v>
      </c>
      <c r="R40" s="10"/>
      <c r="S40" s="10">
        <v>5936997.74</v>
      </c>
      <c r="T40" s="10">
        <v>8291525.05</v>
      </c>
      <c r="U40" s="10">
        <v>5973700.83</v>
      </c>
      <c r="V40" s="10">
        <v>3189440</v>
      </c>
      <c r="W40" s="10"/>
      <c r="X40" s="10"/>
      <c r="Y40" s="10"/>
      <c r="Z40" s="10"/>
      <c r="AA40" s="10"/>
      <c r="AB40" s="10"/>
      <c r="AC40" s="10"/>
      <c r="AD40" s="10">
        <v>11480965.05</v>
      </c>
      <c r="AE40" s="10">
        <v>11910698.57</v>
      </c>
    </row>
    <row r="41" ht="16.5" spans="8:31">
      <c r="H41" s="7"/>
      <c r="I41" s="7" t="s">
        <v>14</v>
      </c>
      <c r="J41" s="10">
        <v>4861654.99</v>
      </c>
      <c r="K41" s="10">
        <v>6027151.03</v>
      </c>
      <c r="L41" s="10">
        <v>-1165496.04</v>
      </c>
      <c r="M41" s="12">
        <v>-0.193374288150201</v>
      </c>
      <c r="P41" s="18"/>
      <c r="Q41" s="7" t="s">
        <v>18</v>
      </c>
      <c r="R41" s="10"/>
      <c r="S41" s="10">
        <v>788535</v>
      </c>
      <c r="T41" s="10">
        <v>1079346</v>
      </c>
      <c r="U41" s="10">
        <v>2638089.9</v>
      </c>
      <c r="V41" s="10">
        <v>681600</v>
      </c>
      <c r="W41" s="10"/>
      <c r="X41" s="10"/>
      <c r="Y41" s="10"/>
      <c r="Z41" s="10"/>
      <c r="AA41" s="10"/>
      <c r="AB41" s="10"/>
      <c r="AC41" s="10"/>
      <c r="AD41" s="10">
        <v>1760946</v>
      </c>
      <c r="AE41" s="10">
        <v>3426624.9</v>
      </c>
    </row>
    <row r="42" ht="16.5" spans="8:31">
      <c r="H42" s="7"/>
      <c r="I42" s="7" t="s">
        <v>16</v>
      </c>
      <c r="J42" s="10">
        <v>5176191.43</v>
      </c>
      <c r="K42" s="10">
        <v>5548386.3</v>
      </c>
      <c r="L42" s="10">
        <v>-372194.87</v>
      </c>
      <c r="M42" s="12">
        <v>-0.0670816431797476</v>
      </c>
      <c r="P42" s="16" t="s">
        <v>21</v>
      </c>
      <c r="Q42" s="7" t="s">
        <v>12</v>
      </c>
      <c r="R42" s="10"/>
      <c r="S42" s="10">
        <v>25418774.7</v>
      </c>
      <c r="T42" s="10">
        <v>22383128.13</v>
      </c>
      <c r="U42" s="10"/>
      <c r="V42" s="10"/>
      <c r="W42" s="10"/>
      <c r="X42" s="10"/>
      <c r="Y42" s="10"/>
      <c r="Z42" s="10"/>
      <c r="AA42" s="10"/>
      <c r="AB42" s="10"/>
      <c r="AC42" s="10"/>
      <c r="AD42" s="10">
        <v>22383128.13</v>
      </c>
      <c r="AE42" s="10">
        <v>25418774.7</v>
      </c>
    </row>
    <row r="43" ht="16.5" spans="8:31">
      <c r="H43" s="7"/>
      <c r="I43" s="7" t="s">
        <v>18</v>
      </c>
      <c r="J43" s="10">
        <v>834626.24</v>
      </c>
      <c r="K43" s="10">
        <v>1135323.2</v>
      </c>
      <c r="L43" s="10">
        <v>-300696.96</v>
      </c>
      <c r="M43" s="12">
        <v>-0.264855822553437</v>
      </c>
      <c r="P43" s="17"/>
      <c r="Q43" s="7" t="s">
        <v>10</v>
      </c>
      <c r="R43" s="10"/>
      <c r="S43" s="10">
        <v>2827301</v>
      </c>
      <c r="T43" s="10">
        <v>2448080.13</v>
      </c>
      <c r="U43" s="10"/>
      <c r="V43" s="10"/>
      <c r="W43" s="10"/>
      <c r="X43" s="10"/>
      <c r="Y43" s="10"/>
      <c r="Z43" s="10"/>
      <c r="AA43" s="10"/>
      <c r="AB43" s="10"/>
      <c r="AC43" s="10"/>
      <c r="AD43" s="10">
        <v>2448080.13</v>
      </c>
      <c r="AE43" s="10">
        <v>2827301</v>
      </c>
    </row>
    <row r="44" ht="16.5" spans="8:31">
      <c r="H44" s="7" t="s">
        <v>20</v>
      </c>
      <c r="I44" s="7"/>
      <c r="J44" s="10">
        <v>180064199.58</v>
      </c>
      <c r="K44" s="10">
        <v>251635555.65</v>
      </c>
      <c r="L44" s="10">
        <v>-71571356.07</v>
      </c>
      <c r="M44" s="12">
        <v>-0.28442465487488</v>
      </c>
      <c r="P44" s="17"/>
      <c r="Q44" s="7" t="s">
        <v>13</v>
      </c>
      <c r="R44" s="10"/>
      <c r="S44" s="10">
        <v>5001163.7</v>
      </c>
      <c r="T44" s="10">
        <v>1734820</v>
      </c>
      <c r="U44" s="10"/>
      <c r="V44" s="10"/>
      <c r="W44" s="10"/>
      <c r="X44" s="10"/>
      <c r="Y44" s="10"/>
      <c r="Z44" s="10"/>
      <c r="AA44" s="10"/>
      <c r="AB44" s="10"/>
      <c r="AC44" s="10"/>
      <c r="AD44" s="10">
        <v>1734820</v>
      </c>
      <c r="AE44" s="10">
        <v>5001163.7</v>
      </c>
    </row>
    <row r="45" ht="16.5" spans="8:31">
      <c r="P45" s="17"/>
      <c r="Q45" s="7" t="s">
        <v>14</v>
      </c>
      <c r="R45" s="10"/>
      <c r="S45" s="10">
        <v>10085816</v>
      </c>
      <c r="T45" s="10">
        <v>11601023</v>
      </c>
      <c r="U45" s="10"/>
      <c r="V45" s="10"/>
      <c r="W45" s="10"/>
      <c r="X45" s="10"/>
      <c r="Y45" s="10"/>
      <c r="Z45" s="10"/>
      <c r="AA45" s="10"/>
      <c r="AB45" s="10"/>
      <c r="AC45" s="10"/>
      <c r="AD45" s="10">
        <v>11601023</v>
      </c>
      <c r="AE45" s="10">
        <v>10085816</v>
      </c>
    </row>
    <row r="46" ht="16.5" spans="8:31">
      <c r="P46" s="17"/>
      <c r="Q46" s="7" t="s">
        <v>16</v>
      </c>
      <c r="R46" s="10"/>
      <c r="S46" s="10">
        <v>7085244</v>
      </c>
      <c r="T46" s="10">
        <v>6152998</v>
      </c>
      <c r="U46" s="10"/>
      <c r="V46" s="10"/>
      <c r="W46" s="10"/>
      <c r="X46" s="10"/>
      <c r="Y46" s="10"/>
      <c r="Z46" s="10"/>
      <c r="AA46" s="10"/>
      <c r="AB46" s="10"/>
      <c r="AC46" s="10"/>
      <c r="AD46" s="10">
        <v>6152998</v>
      </c>
      <c r="AE46" s="10">
        <v>7085244</v>
      </c>
    </row>
    <row r="47" ht="16.5" spans="8:31">
      <c r="P47" s="18"/>
      <c r="Q47" s="7" t="s">
        <v>18</v>
      </c>
      <c r="R47" s="10"/>
      <c r="S47" s="10">
        <v>419250</v>
      </c>
      <c r="T47" s="10">
        <v>446207</v>
      </c>
      <c r="U47" s="10"/>
      <c r="V47" s="10"/>
      <c r="W47" s="10"/>
      <c r="X47" s="10"/>
      <c r="Y47" s="10"/>
      <c r="Z47" s="10"/>
      <c r="AA47" s="10"/>
      <c r="AB47" s="10"/>
      <c r="AC47" s="10"/>
      <c r="AD47" s="10">
        <v>446207</v>
      </c>
      <c r="AE47" s="10">
        <v>419250</v>
      </c>
    </row>
    <row r="48" ht="16.5" spans="8:31">
      <c r="P48" s="16" t="s">
        <v>22</v>
      </c>
      <c r="Q48" s="7" t="s">
        <v>12</v>
      </c>
      <c r="R48" s="10">
        <v>11538850.76</v>
      </c>
      <c r="S48" s="10"/>
      <c r="T48" s="10"/>
      <c r="U48" s="10"/>
      <c r="V48" s="10"/>
      <c r="W48" s="10"/>
      <c r="X48" s="10"/>
      <c r="Y48" s="10"/>
      <c r="Z48" s="10"/>
      <c r="AA48" s="10">
        <v>5841639.17</v>
      </c>
      <c r="AB48" s="10"/>
      <c r="AC48" s="10"/>
      <c r="AD48" s="10">
        <v>11538850.76</v>
      </c>
      <c r="AE48" s="10">
        <v>5841639.17</v>
      </c>
    </row>
    <row r="49" ht="16.5" spans="16:31">
      <c r="P49" s="17"/>
      <c r="Q49" s="7" t="s">
        <v>10</v>
      </c>
      <c r="R49" s="10">
        <v>1179149.9</v>
      </c>
      <c r="S49" s="10"/>
      <c r="T49" s="10"/>
      <c r="U49" s="10"/>
      <c r="V49" s="10"/>
      <c r="W49" s="10"/>
      <c r="X49" s="10"/>
      <c r="Y49" s="10"/>
      <c r="Z49" s="10"/>
      <c r="AA49" s="10">
        <v>699347.46</v>
      </c>
      <c r="AB49" s="10"/>
      <c r="AC49" s="10"/>
      <c r="AD49" s="10">
        <v>1179149.9</v>
      </c>
      <c r="AE49" s="10">
        <v>699347.46</v>
      </c>
    </row>
    <row r="50" ht="16.5" spans="16:31">
      <c r="P50" s="17"/>
      <c r="Q50" s="7" t="s">
        <v>13</v>
      </c>
      <c r="R50" s="10">
        <v>1292127.6</v>
      </c>
      <c r="S50" s="10"/>
      <c r="T50" s="10"/>
      <c r="U50" s="10"/>
      <c r="V50" s="10"/>
      <c r="W50" s="10"/>
      <c r="X50" s="10"/>
      <c r="Y50" s="10"/>
      <c r="Z50" s="10"/>
      <c r="AA50" s="10">
        <v>2716905.48</v>
      </c>
      <c r="AB50" s="10"/>
      <c r="AC50" s="10"/>
      <c r="AD50" s="10">
        <v>1292127.6</v>
      </c>
      <c r="AE50" s="10">
        <v>2716905.48</v>
      </c>
    </row>
    <row r="51" ht="16.5" spans="16:31">
      <c r="P51" s="17"/>
      <c r="Q51" s="7" t="s">
        <v>14</v>
      </c>
      <c r="R51" s="10">
        <v>8052706.88</v>
      </c>
      <c r="S51" s="10"/>
      <c r="T51" s="10"/>
      <c r="U51" s="10"/>
      <c r="V51" s="10"/>
      <c r="W51" s="10"/>
      <c r="X51" s="10"/>
      <c r="Y51" s="10"/>
      <c r="Z51" s="10"/>
      <c r="AA51" s="10">
        <v>1939808.07</v>
      </c>
      <c r="AB51" s="10"/>
      <c r="AC51" s="10"/>
      <c r="AD51" s="10">
        <v>8052706.88</v>
      </c>
      <c r="AE51" s="10">
        <v>1939808.07</v>
      </c>
    </row>
    <row r="52" ht="16.5" spans="16:31">
      <c r="P52" s="18"/>
      <c r="Q52" s="7" t="s">
        <v>16</v>
      </c>
      <c r="R52" s="10">
        <v>1014866.38</v>
      </c>
      <c r="S52" s="10"/>
      <c r="T52" s="10"/>
      <c r="U52" s="10"/>
      <c r="V52" s="10"/>
      <c r="W52" s="10"/>
      <c r="X52" s="10"/>
      <c r="Y52" s="10"/>
      <c r="Z52" s="10"/>
      <c r="AA52" s="10">
        <v>485578.16</v>
      </c>
      <c r="AB52" s="10"/>
      <c r="AC52" s="10"/>
      <c r="AD52" s="10">
        <v>1014866.38</v>
      </c>
      <c r="AE52" s="10">
        <v>485578.16</v>
      </c>
    </row>
    <row r="53" ht="16.5" spans="16:31">
      <c r="P53" s="16" t="s">
        <v>23</v>
      </c>
      <c r="Q53" s="7" t="s">
        <v>12</v>
      </c>
      <c r="R53" s="10">
        <v>432679.98</v>
      </c>
      <c r="S53" s="10">
        <v>16861618.01</v>
      </c>
      <c r="T53" s="10">
        <v>12120102.77</v>
      </c>
      <c r="U53" s="10">
        <v>1819162.35</v>
      </c>
      <c r="V53" s="10">
        <v>711468.9</v>
      </c>
      <c r="W53" s="10">
        <v>104531</v>
      </c>
      <c r="X53" s="10">
        <v>290970.05</v>
      </c>
      <c r="Y53" s="10"/>
      <c r="Z53" s="10">
        <v>288389.5</v>
      </c>
      <c r="AA53" s="10">
        <v>211047.76</v>
      </c>
      <c r="AB53" s="10">
        <v>2837343.43</v>
      </c>
      <c r="AC53" s="10">
        <v>3345741.84</v>
      </c>
      <c r="AD53" s="10">
        <v>16680954.63</v>
      </c>
      <c r="AE53" s="10">
        <v>22342100.96</v>
      </c>
    </row>
    <row r="54" ht="16.5" spans="16:31">
      <c r="P54" s="17"/>
      <c r="Q54" s="7" t="s">
        <v>10</v>
      </c>
      <c r="R54" s="10">
        <v>64909.23</v>
      </c>
      <c r="S54" s="10">
        <v>2719863.57</v>
      </c>
      <c r="T54" s="10">
        <v>2921460.3</v>
      </c>
      <c r="U54" s="10">
        <v>251433.99</v>
      </c>
      <c r="V54" s="10">
        <v>111614.9</v>
      </c>
      <c r="W54" s="10">
        <v>24849</v>
      </c>
      <c r="X54" s="10">
        <v>65747.5</v>
      </c>
      <c r="Y54" s="10"/>
      <c r="Z54" s="10">
        <v>1533.1</v>
      </c>
      <c r="AA54" s="10">
        <v>5916.9</v>
      </c>
      <c r="AB54" s="10">
        <v>344170.68</v>
      </c>
      <c r="AC54" s="10">
        <v>561798.86</v>
      </c>
      <c r="AD54" s="10">
        <v>3509435.71</v>
      </c>
      <c r="AE54" s="10">
        <v>3563862.32</v>
      </c>
    </row>
    <row r="55" ht="16.5" spans="16:31">
      <c r="P55" s="17"/>
      <c r="Q55" s="7" t="s">
        <v>13</v>
      </c>
      <c r="R55" s="10">
        <v>79866.81</v>
      </c>
      <c r="S55" s="10">
        <v>4455143.57</v>
      </c>
      <c r="T55" s="10">
        <v>1692928.04</v>
      </c>
      <c r="U55" s="10">
        <v>493437.16</v>
      </c>
      <c r="V55" s="10">
        <v>60403.8</v>
      </c>
      <c r="W55" s="10">
        <v>40036</v>
      </c>
      <c r="X55" s="10">
        <v>26355.8</v>
      </c>
      <c r="Y55" s="10"/>
      <c r="Z55" s="10">
        <v>109957.4</v>
      </c>
      <c r="AA55" s="10">
        <v>125111.7</v>
      </c>
      <c r="AB55" s="10">
        <v>329534.41</v>
      </c>
      <c r="AC55" s="10">
        <v>953649.68</v>
      </c>
      <c r="AD55" s="10">
        <v>2299046.26</v>
      </c>
      <c r="AE55" s="10">
        <v>6067378.11</v>
      </c>
    </row>
    <row r="56" ht="16.5" spans="16:31">
      <c r="P56" s="17"/>
      <c r="Q56" s="7" t="s">
        <v>14</v>
      </c>
      <c r="R56" s="10">
        <v>222666.44</v>
      </c>
      <c r="S56" s="10">
        <v>4452985.13</v>
      </c>
      <c r="T56" s="10">
        <v>3398839.4</v>
      </c>
      <c r="U56" s="10">
        <v>606766.5</v>
      </c>
      <c r="V56" s="10">
        <v>196741.2</v>
      </c>
      <c r="W56" s="10">
        <v>26997</v>
      </c>
      <c r="X56" s="10">
        <v>79777.55</v>
      </c>
      <c r="Y56" s="10"/>
      <c r="Z56" s="10">
        <v>158607.4</v>
      </c>
      <c r="AA56" s="10">
        <v>59435.4</v>
      </c>
      <c r="AB56" s="10">
        <v>805023</v>
      </c>
      <c r="AC56" s="10">
        <v>880967</v>
      </c>
      <c r="AD56" s="10">
        <v>4861654.99</v>
      </c>
      <c r="AE56" s="10">
        <v>6027151.03</v>
      </c>
    </row>
    <row r="57" ht="16.5" spans="16:31">
      <c r="P57" s="17"/>
      <c r="Q57" s="7" t="s">
        <v>16</v>
      </c>
      <c r="R57" s="10">
        <v>65154.34</v>
      </c>
      <c r="S57" s="10">
        <v>4303749.64</v>
      </c>
      <c r="T57" s="10">
        <v>3488411.15</v>
      </c>
      <c r="U57" s="10">
        <v>321089.7</v>
      </c>
      <c r="V57" s="10">
        <v>323748.3</v>
      </c>
      <c r="W57" s="10">
        <v>12649</v>
      </c>
      <c r="X57" s="10">
        <v>46205.3</v>
      </c>
      <c r="Y57" s="10"/>
      <c r="Z57" s="10">
        <v>18291.6</v>
      </c>
      <c r="AA57" s="10">
        <v>20553.86</v>
      </c>
      <c r="AB57" s="10">
        <v>1234380.74</v>
      </c>
      <c r="AC57" s="10">
        <v>890344.1</v>
      </c>
      <c r="AD57" s="10">
        <v>5176191.43</v>
      </c>
      <c r="AE57" s="10">
        <v>5548386.3</v>
      </c>
    </row>
    <row r="58" ht="16.5" spans="16:31">
      <c r="P58" s="18"/>
      <c r="Q58" s="7" t="s">
        <v>18</v>
      </c>
      <c r="R58" s="10">
        <v>83.16</v>
      </c>
      <c r="S58" s="10">
        <v>929876.1</v>
      </c>
      <c r="T58" s="10">
        <v>618463.88</v>
      </c>
      <c r="U58" s="10">
        <v>146435</v>
      </c>
      <c r="V58" s="10">
        <v>18960.7</v>
      </c>
      <c r="W58" s="10">
        <v>0</v>
      </c>
      <c r="X58" s="10">
        <v>72883.9</v>
      </c>
      <c r="Y58" s="10"/>
      <c r="Z58" s="10"/>
      <c r="AA58" s="10">
        <v>29.9</v>
      </c>
      <c r="AB58" s="10">
        <v>124234.6</v>
      </c>
      <c r="AC58" s="10">
        <v>58982.2</v>
      </c>
      <c r="AD58" s="10">
        <v>834626.24</v>
      </c>
      <c r="AE58" s="10">
        <v>1135323.2</v>
      </c>
    </row>
    <row r="59" ht="16.5" spans="16:31">
      <c r="P59" s="8" t="s">
        <v>20</v>
      </c>
      <c r="Q59" s="9"/>
      <c r="R59" s="10">
        <v>11972331.74</v>
      </c>
      <c r="S59" s="10">
        <v>197599153.35</v>
      </c>
      <c r="T59" s="10">
        <v>143742866.15</v>
      </c>
      <c r="U59" s="10">
        <v>44528942.53</v>
      </c>
      <c r="V59" s="10">
        <v>20932298.71</v>
      </c>
      <c r="W59" s="10">
        <v>104531</v>
      </c>
      <c r="X59" s="10">
        <v>290970.05</v>
      </c>
      <c r="Y59" s="10"/>
      <c r="Z59" s="10">
        <v>288389.5</v>
      </c>
      <c r="AA59" s="10">
        <v>6057186.93</v>
      </c>
      <c r="AB59" s="10">
        <v>2837343.43</v>
      </c>
      <c r="AC59" s="10">
        <v>3345741.84</v>
      </c>
      <c r="AD59" s="10">
        <v>180064199.58</v>
      </c>
      <c r="AE59" s="10">
        <v>251635555.65</v>
      </c>
    </row>
  </sheetData>
  <mergeCells count="34">
    <mergeCell ref="A1:E1"/>
    <mergeCell ref="H1:M1"/>
    <mergeCell ref="P1:AD1"/>
    <mergeCell ref="Q2:R2"/>
    <mergeCell ref="S2:T2"/>
    <mergeCell ref="U2:V2"/>
    <mergeCell ref="W2:X2"/>
    <mergeCell ref="Y2:Z2"/>
    <mergeCell ref="AA2:AB2"/>
    <mergeCell ref="AC2:AD2"/>
    <mergeCell ref="P16:Q16"/>
    <mergeCell ref="R16:S16"/>
    <mergeCell ref="T16:U16"/>
    <mergeCell ref="V16:W16"/>
    <mergeCell ref="X16:Y16"/>
    <mergeCell ref="Z16:AA16"/>
    <mergeCell ref="AB16:AC16"/>
    <mergeCell ref="AD16:AE16"/>
    <mergeCell ref="H44:I44"/>
    <mergeCell ref="P59:Q59"/>
    <mergeCell ref="H3:H8"/>
    <mergeCell ref="H9:H14"/>
    <mergeCell ref="H15:H20"/>
    <mergeCell ref="H21:H26"/>
    <mergeCell ref="H27:H32"/>
    <mergeCell ref="H33:H37"/>
    <mergeCell ref="H38:H43"/>
    <mergeCell ref="P18:P23"/>
    <mergeCell ref="P24:P29"/>
    <mergeCell ref="P30:P35"/>
    <mergeCell ref="P36:P41"/>
    <mergeCell ref="P42:P47"/>
    <mergeCell ref="P48:P52"/>
    <mergeCell ref="P53:P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lyq</dc:creator>
  <cp:lastModifiedBy>刘燕清</cp:lastModifiedBy>
  <dcterms:created xsi:type="dcterms:W3CDTF">2026-05-09T02:57:59Z</dcterms:created>
  <dcterms:modified xsi:type="dcterms:W3CDTF">2026-05-09T04:35:16Z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8997DCB55FEE4A80B2DFB51303EEA858_11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